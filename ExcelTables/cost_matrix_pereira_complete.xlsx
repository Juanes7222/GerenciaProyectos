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b\OneDrive\Documentos\GitHub\GerenciaProyectos\ExcelTables\"/>
    </mc:Choice>
  </mc:AlternateContent>
  <xr:revisionPtr revIDLastSave="0" documentId="13_ncr:1_{8C919D37-4DA4-4F29-A2E6-276CFF1F65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trizCostos" sheetId="1" r:id="rId1"/>
    <sheet name="Resumen" sheetId="2" r:id="rId2"/>
    <sheet name="Fuen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D52" i="1"/>
  <c r="D50" i="1"/>
  <c r="D48" i="1"/>
  <c r="D49" i="1"/>
  <c r="D51" i="1"/>
  <c r="D47" i="1"/>
  <c r="C48" i="1"/>
  <c r="C49" i="1"/>
  <c r="C50" i="1"/>
  <c r="C51" i="1"/>
  <c r="C47" i="1"/>
  <c r="T37" i="1"/>
  <c r="T38" i="1"/>
  <c r="T39" i="1"/>
  <c r="T40" i="1"/>
  <c r="T41" i="1"/>
  <c r="T42" i="1"/>
  <c r="H39" i="1"/>
  <c r="H40" i="1"/>
  <c r="H41" i="1"/>
  <c r="H42" i="1"/>
  <c r="H38" i="1"/>
  <c r="I37" i="1"/>
  <c r="H37" i="1"/>
  <c r="F42" i="1"/>
  <c r="F41" i="1"/>
  <c r="F40" i="1"/>
  <c r="F39" i="1"/>
  <c r="F38" i="1"/>
  <c r="F37" i="1"/>
  <c r="F43" i="1"/>
  <c r="H43" i="1" s="1"/>
  <c r="F10" i="1"/>
  <c r="H10" i="1" s="1"/>
  <c r="T10" i="1" s="1"/>
  <c r="F11" i="1"/>
  <c r="H11" i="1" s="1"/>
  <c r="T11" i="1" s="1"/>
  <c r="F9" i="1"/>
  <c r="H9" i="1" s="1"/>
  <c r="T9" i="1" s="1"/>
  <c r="F12" i="1"/>
  <c r="H12" i="1" s="1"/>
  <c r="T12" i="1" s="1"/>
  <c r="F13" i="1"/>
  <c r="H13" i="1" s="1"/>
  <c r="T13" i="1" s="1"/>
  <c r="E8" i="1"/>
  <c r="F8" i="1" s="1"/>
  <c r="H8" i="1" s="1"/>
  <c r="T8" i="1" s="1"/>
  <c r="F14" i="1"/>
  <c r="H14" i="1" s="1"/>
  <c r="T14" i="1" s="1"/>
  <c r="F2" i="1"/>
  <c r="H2" i="1" s="1"/>
  <c r="T2" i="1" s="1"/>
  <c r="F7" i="1"/>
  <c r="H7" i="1" s="1"/>
  <c r="T7" i="1" s="1"/>
  <c r="F6" i="1"/>
  <c r="H6" i="1" s="1"/>
  <c r="T6" i="1" s="1"/>
  <c r="F3" i="1"/>
  <c r="H3" i="1" s="1"/>
  <c r="T3" i="1" s="1"/>
  <c r="F4" i="1"/>
  <c r="H4" i="1" s="1"/>
  <c r="T4" i="1" s="1"/>
  <c r="I29" i="1"/>
  <c r="J29" i="1"/>
  <c r="K29" i="1"/>
  <c r="L29" i="1"/>
  <c r="M29" i="1"/>
  <c r="N29" i="1"/>
  <c r="O29" i="1"/>
  <c r="P29" i="1"/>
  <c r="Q29" i="1"/>
  <c r="R29" i="1"/>
  <c r="S29" i="1"/>
  <c r="H29" i="1"/>
  <c r="E30" i="1"/>
  <c r="M30" i="1" s="1"/>
  <c r="I36" i="1"/>
  <c r="J36" i="1"/>
  <c r="K36" i="1"/>
  <c r="L36" i="1"/>
  <c r="M36" i="1"/>
  <c r="N36" i="1"/>
  <c r="O36" i="1"/>
  <c r="P36" i="1"/>
  <c r="Q36" i="1"/>
  <c r="R36" i="1"/>
  <c r="S36" i="1"/>
  <c r="H36" i="1"/>
  <c r="F36" i="1"/>
  <c r="I35" i="1"/>
  <c r="J35" i="1"/>
  <c r="K35" i="1"/>
  <c r="L35" i="1"/>
  <c r="M35" i="1"/>
  <c r="N35" i="1"/>
  <c r="O35" i="1"/>
  <c r="P35" i="1"/>
  <c r="Q35" i="1"/>
  <c r="R35" i="1"/>
  <c r="S35" i="1"/>
  <c r="H35" i="1"/>
  <c r="F35" i="1"/>
  <c r="I34" i="1"/>
  <c r="J34" i="1"/>
  <c r="K34" i="1"/>
  <c r="L34" i="1"/>
  <c r="M34" i="1"/>
  <c r="N34" i="1"/>
  <c r="O34" i="1"/>
  <c r="P34" i="1"/>
  <c r="Q34" i="1"/>
  <c r="R34" i="1"/>
  <c r="S34" i="1"/>
  <c r="H34" i="1"/>
  <c r="F34" i="1"/>
  <c r="I33" i="1"/>
  <c r="J33" i="1"/>
  <c r="K33" i="1"/>
  <c r="L33" i="1"/>
  <c r="M33" i="1"/>
  <c r="N33" i="1"/>
  <c r="O33" i="1"/>
  <c r="P33" i="1"/>
  <c r="Q33" i="1"/>
  <c r="R33" i="1"/>
  <c r="S33" i="1"/>
  <c r="H33" i="1"/>
  <c r="F33" i="1"/>
  <c r="I32" i="1"/>
  <c r="J32" i="1"/>
  <c r="K32" i="1"/>
  <c r="L32" i="1"/>
  <c r="M32" i="1"/>
  <c r="N32" i="1"/>
  <c r="O32" i="1"/>
  <c r="P32" i="1"/>
  <c r="Q32" i="1"/>
  <c r="R32" i="1"/>
  <c r="S32" i="1"/>
  <c r="H32" i="1"/>
  <c r="H31" i="1"/>
  <c r="F32" i="1"/>
  <c r="F29" i="1"/>
  <c r="E23" i="1"/>
  <c r="F23" i="1" s="1"/>
  <c r="I31" i="1"/>
  <c r="J31" i="1"/>
  <c r="K31" i="1"/>
  <c r="L31" i="1"/>
  <c r="M31" i="1"/>
  <c r="N31" i="1"/>
  <c r="O31" i="1"/>
  <c r="P31" i="1"/>
  <c r="Q31" i="1"/>
  <c r="R31" i="1"/>
  <c r="S31" i="1"/>
  <c r="F31" i="1"/>
  <c r="T5" i="1"/>
  <c r="T15" i="1"/>
  <c r="T16" i="1"/>
  <c r="T17" i="1"/>
  <c r="T19" i="1"/>
  <c r="T20" i="1"/>
  <c r="T24" i="1"/>
  <c r="T27" i="1"/>
  <c r="I25" i="1"/>
  <c r="J25" i="1"/>
  <c r="K25" i="1"/>
  <c r="L25" i="1"/>
  <c r="M25" i="1"/>
  <c r="H25" i="1"/>
  <c r="F25" i="1"/>
  <c r="E22" i="1"/>
  <c r="I22" i="1" s="1"/>
  <c r="F21" i="1"/>
  <c r="M21" i="1" s="1"/>
  <c r="F18" i="1"/>
  <c r="H18" i="1" s="1"/>
  <c r="T18" i="1" s="1"/>
  <c r="F28" i="1"/>
  <c r="N28" i="1" s="1"/>
  <c r="F26" i="1"/>
  <c r="R26" i="1" s="1"/>
  <c r="F27" i="1"/>
  <c r="T43" i="1" l="1"/>
  <c r="S30" i="1"/>
  <c r="H30" i="1"/>
  <c r="Q30" i="1"/>
  <c r="R30" i="1"/>
  <c r="O30" i="1"/>
  <c r="N30" i="1"/>
  <c r="P30" i="1"/>
  <c r="L30" i="1"/>
  <c r="J30" i="1"/>
  <c r="K30" i="1"/>
  <c r="I30" i="1"/>
  <c r="F30" i="1"/>
  <c r="T36" i="1"/>
  <c r="T35" i="1"/>
  <c r="T34" i="1"/>
  <c r="T33" i="1"/>
  <c r="T32" i="1"/>
  <c r="T31" i="1"/>
  <c r="H23" i="1"/>
  <c r="J22" i="1"/>
  <c r="M23" i="1"/>
  <c r="L21" i="1"/>
  <c r="L44" i="1" s="1"/>
  <c r="K23" i="1"/>
  <c r="K21" i="1"/>
  <c r="J21" i="1"/>
  <c r="L23" i="1"/>
  <c r="J23" i="1"/>
  <c r="I23" i="1"/>
  <c r="N26" i="1"/>
  <c r="P26" i="1"/>
  <c r="T25" i="1"/>
  <c r="O21" i="1"/>
  <c r="O44" i="1" s="1"/>
  <c r="N21" i="1"/>
  <c r="N44" i="1" s="1"/>
  <c r="F22" i="1"/>
  <c r="I21" i="1"/>
  <c r="H26" i="1"/>
  <c r="R21" i="1"/>
  <c r="M22" i="1"/>
  <c r="J26" i="1"/>
  <c r="Q21" i="1"/>
  <c r="Q44" i="1" s="1"/>
  <c r="L22" i="1"/>
  <c r="H21" i="1"/>
  <c r="S21" i="1"/>
  <c r="S44" i="1" s="1"/>
  <c r="H22" i="1"/>
  <c r="L26" i="1"/>
  <c r="P21" i="1"/>
  <c r="P44" i="1" s="1"/>
  <c r="K22" i="1"/>
  <c r="K28" i="1"/>
  <c r="S28" i="1"/>
  <c r="Q28" i="1"/>
  <c r="P28" i="1"/>
  <c r="J28" i="1"/>
  <c r="I28" i="1"/>
  <c r="R28" i="1"/>
  <c r="O28" i="1"/>
  <c r="M28" i="1"/>
  <c r="L28" i="1"/>
  <c r="H28" i="1"/>
  <c r="H44" i="1" l="1"/>
  <c r="R44" i="1"/>
  <c r="M44" i="1"/>
  <c r="J44" i="1"/>
  <c r="K44" i="1"/>
  <c r="I44" i="1"/>
  <c r="T30" i="1"/>
  <c r="T29" i="1"/>
  <c r="T23" i="1"/>
  <c r="T22" i="1"/>
  <c r="T21" i="1"/>
  <c r="T26" i="1"/>
  <c r="T28" i="1"/>
  <c r="T44" i="1" l="1"/>
</calcChain>
</file>

<file path=xl/sharedStrings.xml><?xml version="1.0" encoding="utf-8"?>
<sst xmlns="http://schemas.openxmlformats.org/spreadsheetml/2006/main" count="233" uniqueCount="140">
  <si>
    <t>Item</t>
  </si>
  <si>
    <t>Categoria</t>
  </si>
  <si>
    <t>Unidad</t>
  </si>
  <si>
    <t>Cantidad</t>
  </si>
  <si>
    <t>Source</t>
  </si>
  <si>
    <t>Mes1</t>
  </si>
  <si>
    <t>Mes2</t>
  </si>
  <si>
    <t>Mes3</t>
  </si>
  <si>
    <t>Mes4</t>
  </si>
  <si>
    <t>Mes5</t>
  </si>
  <si>
    <t>Mes6</t>
  </si>
  <si>
    <t>Mes7</t>
  </si>
  <si>
    <t>Mes8</t>
  </si>
  <si>
    <t>Mes9</t>
  </si>
  <si>
    <t>Mes10</t>
  </si>
  <si>
    <t>Mes11</t>
  </si>
  <si>
    <t>Mes12</t>
  </si>
  <si>
    <t>Computador portátil - MacBook Air (iShop referencia)</t>
  </si>
  <si>
    <t>Equipamiento</t>
  </si>
  <si>
    <t>unidad</t>
  </si>
  <si>
    <t>https://co.tiendasishop.com/collections/macbook-air</t>
  </si>
  <si>
    <t>Silla ergonómica (MercadoLibre referencia)</t>
  </si>
  <si>
    <t>https://listado.mercadolibre.com.co/silla-ergonomica</t>
  </si>
  <si>
    <t>Escritorio (IKEA referencia)</t>
  </si>
  <si>
    <t>https://www.ikea.com/co/es/cat/escritorios-20649/</t>
  </si>
  <si>
    <t>Arriendo oficina Pereira (ejemplo anuncio)</t>
  </si>
  <si>
    <t>Operativo</t>
  </si>
  <si>
    <t>mes</t>
  </si>
  <si>
    <t>https://www.ciencuadras.com/arriendo/pereira/oficina</t>
  </si>
  <si>
    <t>Impresora carnets PVC Zebra ZC100 (MercadoLibre)</t>
  </si>
  <si>
    <t>https://listado.mercadolibre.com.co/impresora-carnets-pvc</t>
  </si>
  <si>
    <t>Ribbon para impresora carnets (MercadoLibre)</t>
  </si>
  <si>
    <t>Consumible</t>
  </si>
  <si>
    <t>Lector biométrico huella U.are.U o similar (MercadoLibre)</t>
  </si>
  <si>
    <t>https://listado.mercadolibre.com.co/lector-biometrico-de-huella</t>
  </si>
  <si>
    <t>Escáner de documentos (Frontier / Epson ejemplos)</t>
  </si>
  <si>
    <t>https://frontier.com.co/escaner</t>
  </si>
  <si>
    <t>Servidor hosting estimado (AWS equivalente)</t>
  </si>
  <si>
    <t>Infraestructura</t>
  </si>
  <si>
    <t>https://aws.amazon.com/pricing/</t>
  </si>
  <si>
    <t>Pasarela de pago comision ejemplo (MercadoPago)</t>
  </si>
  <si>
    <t>Servicios</t>
  </si>
  <si>
    <t>por transaccion</t>
  </si>
  <si>
    <t>https://muralpay.com/blog/top-ten-payment-gateways-for-colombian-businesses</t>
  </si>
  <si>
    <t>Desarrollo software - 2 desarrolladores (salario mes promedio Indeed)</t>
  </si>
  <si>
    <t>Personal</t>
  </si>
  <si>
    <t>https://co.indeed.com/career/desarrollador-de-software/salaries</t>
  </si>
  <si>
    <t>Project manager parcial tiempo (estimado)</t>
  </si>
  <si>
    <t>https://co.indeed.com/</t>
  </si>
  <si>
    <t>QA tester (salario estimado)</t>
  </si>
  <si>
    <t>Instalacion y configuracion impresora y biometria (servicio)</t>
  </si>
  <si>
    <t>Estimado local</t>
  </si>
  <si>
    <t>Soporte y mantenimiento anual (contrato)</t>
  </si>
  <si>
    <t>anual</t>
  </si>
  <si>
    <t>Estimado proveedor local</t>
  </si>
  <si>
    <t>Consumo de impresora y materiales (mensual)</t>
  </si>
  <si>
    <t>Estimado consumibles</t>
  </si>
  <si>
    <t>Capacitacion funcionarios (presencial, jornada)</t>
  </si>
  <si>
    <t>Capacitacion</t>
  </si>
  <si>
    <t>jornada</t>
  </si>
  <si>
    <t>Estimado formacion local</t>
  </si>
  <si>
    <t>Contingencia 10 por ciento sobre subtotal</t>
  </si>
  <si>
    <t>Política recomendada</t>
  </si>
  <si>
    <t>Concepto</t>
  </si>
  <si>
    <t>COP</t>
  </si>
  <si>
    <t>Subtotal calculado</t>
  </si>
  <si>
    <t>Contingencia 10%</t>
  </si>
  <si>
    <t>Total estimado</t>
  </si>
  <si>
    <t>Total</t>
  </si>
  <si>
    <t>https://salescloud.com.co/soporte-tecnico/modalidad-tarifas/</t>
  </si>
  <si>
    <t>https://reunir.unir.net/bitstream/handle/123456789/5594/AGUIAR%20ULLOA%2C%20DOUGLAS.pdf?isAllowed=y&amp;sequence=1</t>
  </si>
  <si>
    <t>https://www.mercadolibre.com.co/impresora-de-carnets-a-una-cara-zebra-zc100-usb/up/MCOU2405660816?has_official_store=false&amp;highlight=false&amp;headerTopBrand=false#polycard_client=search-nordic&amp;search_layout=stack&amp;position=1&amp;type=product&amp;tracking_id=7ae0aca1-7a2a-4064-8e96-616fdf4e53ba&amp;wid=MCO1241355609&amp;sid=search</t>
  </si>
  <si>
    <t>Servicio de personalización e impresión externa</t>
  </si>
  <si>
    <t>Computador portátil - MacBook Air</t>
  </si>
  <si>
    <t>Silla ergonómica</t>
  </si>
  <si>
    <t>Escritorio</t>
  </si>
  <si>
    <t>Arriendo oficina Pereira</t>
  </si>
  <si>
    <t>Ribbon para impresora carnets</t>
  </si>
  <si>
    <t>Lector biométrico huella U.are.U o similar</t>
  </si>
  <si>
    <t>Escáner de documentos</t>
  </si>
  <si>
    <t>Servidor hosting estimado</t>
  </si>
  <si>
    <t>Pasarela de pago comision ejemplo</t>
  </si>
  <si>
    <t>Project manager parcial tiempo</t>
  </si>
  <si>
    <t>QA tester</t>
  </si>
  <si>
    <t>Lapiceros</t>
  </si>
  <si>
    <t>https://www.mercadolibre.com.co/plumas-lapicero-bic-dura-punto-mediano-1-mm-caja-50-th/p/MCO2038834926?has_official_store=false&amp;highlight=false&amp;headerTopBrand=true#polycard_client=search-nordic&amp;search_layout=grid&amp;position=3&amp;type=product&amp;tracking_id=caf3d509-a34d-44f7-ace2-a897dc60b29e&amp;wid=MCO1672269059&amp;sid=search</t>
  </si>
  <si>
    <t>Café</t>
  </si>
  <si>
    <t>https://www.cafequindio.com.co/products/tripack-cafe-gouermet</t>
  </si>
  <si>
    <t>https://www.mercadolibre.com.co/lector-biometrico-usb-digital-persona-uareu-4500/p/MCO27809732?has_official_store=false&amp;highlight=true&amp;headerTopBrand=true#polycard_client=search-nordic&amp;search_layout=stack&amp;position=3&amp;type=product&amp;tracking_id=96df3211-f853-46dd-a4db-ba0cc0d1eeb6&amp;wid=MCO1416098195&amp;sid=search</t>
  </si>
  <si>
    <t>https://frontier.com.co/escaner-portatil-de-documentos-workforce-es-50</t>
  </si>
  <si>
    <t>Costo Unitario</t>
  </si>
  <si>
    <t>Valor Total</t>
  </si>
  <si>
    <t>https://co.indeed.com/jobs?q=project+manager&amp;l=Pereira%2C+Risaralda&amp;from=searchOnHP%2Cwhereautocomplete&amp;vjk=7ef7cafcaaa75c14</t>
  </si>
  <si>
    <t>https://co.indeed.com/viewjob?jk=88ffff663daf3ab3&amp;from=shareddesktop_copy</t>
  </si>
  <si>
    <t>Pago Total</t>
  </si>
  <si>
    <t>Referencia</t>
  </si>
  <si>
    <t>Operador administrativo</t>
  </si>
  <si>
    <t>https://co.computrabajo.com/salarios/administrativosas</t>
  </si>
  <si>
    <t>Desarrollo software backend (3 desarrolladores)</t>
  </si>
  <si>
    <t>Desarrollo software frontend (3 desarrolladores)</t>
  </si>
  <si>
    <t>https://blog.ucc.edu.co/cuanto-gana-programador-colombia</t>
  </si>
  <si>
    <t>Analista funcional</t>
  </si>
  <si>
    <t>https://co.computrabajo.com/salarios/analista-funcional</t>
  </si>
  <si>
    <t>Coordinador técnico</t>
  </si>
  <si>
    <t>https://co.indeed.com/career/coordinador-de-ti/salaries</t>
  </si>
  <si>
    <t>DevOps administrador nube</t>
  </si>
  <si>
    <t>https://co.indeed.com/career/devops/salaries</t>
  </si>
  <si>
    <t>Responsable conciliación financiera</t>
  </si>
  <si>
    <t>https://co.indeed.com/cmp/Solvo-Global-SAS/salaries/Analista-de-conciliaciones-bancarias</t>
  </si>
  <si>
    <t>Responsable protección de datos y cumplimiento</t>
  </si>
  <si>
    <t>https://sueldofuncionarios.es/sueldo-promedio-de-un-director-de-proteccion-de-datos-y-privacidad-en-colombia/</t>
  </si>
  <si>
    <t>Operador de ventanilla (4 operadores)</t>
  </si>
  <si>
    <t>Supervisor de ventanilla (1 supervisor)</t>
  </si>
  <si>
    <t>Sillas de espera</t>
  </si>
  <si>
    <t>Sofás</t>
  </si>
  <si>
    <t>https://www.homecenter.com.co/homecenter-co/product/906159/sofa-3-puestos-norwich-209x83x86-cm-azul/906159/</t>
  </si>
  <si>
    <t>https://www.homecenter.com.co/homecenter-co/product/899524/silla-interlocutora-isosceles-fija-de-oficina-tela-negra-just-home-collection/899524/</t>
  </si>
  <si>
    <t>Dispensador de agua</t>
  </si>
  <si>
    <t>Mesa redonda</t>
  </si>
  <si>
    <t>https://mueblea.com.co/producto/mesa-reuniones-circular/</t>
  </si>
  <si>
    <t>https://www.homecenter.com.co/homecenter-co/product/909046/dispensador-agua-ped-elec-bot/909046/</t>
  </si>
  <si>
    <t>Aspiradora</t>
  </si>
  <si>
    <t>Mesa de recepción</t>
  </si>
  <si>
    <t>https://www.homecenter.com.co/homecenter-co/product/276875/centro-de-trabajo-metal-vidrio-160x160x76cm/276875/</t>
  </si>
  <si>
    <t>https://www.homecenter.com.co/homecenter-co/product/323654/aspiradora-15-litros-spin-sin-bolsa-1200w-morado/323654/</t>
  </si>
  <si>
    <t>Inodoro</t>
  </si>
  <si>
    <t>Lavamanos</t>
  </si>
  <si>
    <t>https://www.homecenter.com.co/homecenter-co/product/468304/sanitario-smart-redondo-single-blanco-corona/468304/</t>
  </si>
  <si>
    <t>https://www.homecenter.com.co/homecenter-co/product/899384/lavamanos-ceramico-ovalado-mate-blanco-sensi-dacqua/899384/</t>
  </si>
  <si>
    <t>Cajon</t>
  </si>
  <si>
    <t>Cajón pequeño</t>
  </si>
  <si>
    <t>https://www.homecenter.com.co/homecenter-co/product/699010/mesa-de-noche-grayson-wenguefresno-europeo-55x50x373-cm/699010/</t>
  </si>
  <si>
    <t>https://www.homecenter.com.co/homecenter-co/product/878751/comoda-pepe-8-cajones-140x40x82-cm-blanca/878751/</t>
  </si>
  <si>
    <t>Levantamiento de requerimiento</t>
  </si>
  <si>
    <t>Entrevistas</t>
  </si>
  <si>
    <t>Análisis de requerimientos</t>
  </si>
  <si>
    <t>Diseño de sw</t>
  </si>
  <si>
    <t>Pruebas y ajustes</t>
  </si>
  <si>
    <t>Normatividad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</si>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</sst>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40A]\ * #,##0_-;\-[$$-240A]\ * #,##0_-;_-[$$-240A]\ * &quot;-&quot;??_-;_-@_-"/>
    <numFmt numFmtId="165" formatCode="\Te\x\t\o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1" fillId="5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5" borderId="2" xfId="0" applyFont="1" applyFill="1" applyBorder="1" applyAlignment="1">
      <alignment horizontal="center" vertical="top"/>
    </xf>
    <xf numFmtId="0" fontId="3" fillId="0" borderId="4" xfId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4" fontId="4" fillId="0" borderId="6" xfId="0" applyNumberFormat="1" applyFont="1" applyBorder="1" applyAlignment="1">
      <alignment wrapText="1"/>
    </xf>
    <xf numFmtId="0" fontId="2" fillId="6" borderId="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5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0" fontId="0" fillId="9" borderId="2" xfId="0" applyFill="1" applyBorder="1" applyAlignment="1">
      <alignment horizontal="center"/>
    </xf>
    <xf numFmtId="0" fontId="0" fillId="0" borderId="2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stado.mercadolibre.com.co/impresora-carnets-pvc" TargetMode="External"/><Relationship Id="rId13" Type="http://schemas.openxmlformats.org/officeDocument/2006/relationships/hyperlink" Target="https://co.indeed.com/career/desarrollador-de-software/salaries" TargetMode="External"/><Relationship Id="rId3" Type="http://schemas.openxmlformats.org/officeDocument/2006/relationships/hyperlink" Target="https://www.ikea.com/co/es/cat/escritorios-20649/" TargetMode="External"/><Relationship Id="rId7" Type="http://schemas.openxmlformats.org/officeDocument/2006/relationships/hyperlink" Target="https://www.mercadolibre.com.co/impresora-de-carnets-a-una-cara-zebra-zc100-usb/up/MCOU2405660816?has_official_store=false&amp;highlight=false&amp;headerTopBrand=false" TargetMode="External"/><Relationship Id="rId12" Type="http://schemas.openxmlformats.org/officeDocument/2006/relationships/hyperlink" Target="https://muralpay.com/blog/top-ten-payment-gateways-for-colombian-businesses" TargetMode="External"/><Relationship Id="rId2" Type="http://schemas.openxmlformats.org/officeDocument/2006/relationships/hyperlink" Target="https://listado.mercadolibre.com.co/silla-ergonomica" TargetMode="External"/><Relationship Id="rId16" Type="http://schemas.openxmlformats.org/officeDocument/2006/relationships/hyperlink" Target="https://reunir.unir.net/bitstream/handle/123456789/5594/AGUIAR%20ULLOA%2C%20DOUGLAS.pdf?isAllowed=y&amp;sequence=1" TargetMode="External"/><Relationship Id="rId1" Type="http://schemas.openxmlformats.org/officeDocument/2006/relationships/hyperlink" Target="https://co.tiendasishop.com/collections/macbook-air" TargetMode="External"/><Relationship Id="rId6" Type="http://schemas.openxmlformats.org/officeDocument/2006/relationships/hyperlink" Target="https://www.ciencuadras.com/arriendo/pereira/oficina" TargetMode="External"/><Relationship Id="rId11" Type="http://schemas.openxmlformats.org/officeDocument/2006/relationships/hyperlink" Target="https://aws.amazon.com/pricing/" TargetMode="External"/><Relationship Id="rId5" Type="http://schemas.openxmlformats.org/officeDocument/2006/relationships/hyperlink" Target="https://www.mercadolibre.com.co/plumas-lapicero-bic-dura-punto-mediano-1-mm-caja-50-th/p/MCO2038834926?has_official_store=false&amp;highlight=false&amp;headerTopBrand=true" TargetMode="External"/><Relationship Id="rId15" Type="http://schemas.openxmlformats.org/officeDocument/2006/relationships/hyperlink" Target="https://co.indeed.com/viewjob?jk=88ffff663daf3ab3&amp;from=shareddesktop_copy" TargetMode="External"/><Relationship Id="rId10" Type="http://schemas.openxmlformats.org/officeDocument/2006/relationships/hyperlink" Target="https://frontier.com.co/escaner-portatil-de-documentos-workforce-es-50" TargetMode="External"/><Relationship Id="rId4" Type="http://schemas.openxmlformats.org/officeDocument/2006/relationships/hyperlink" Target="https://salescloud.com.co/soporte-tecnico/modalidad-tarifas/" TargetMode="External"/><Relationship Id="rId9" Type="http://schemas.openxmlformats.org/officeDocument/2006/relationships/hyperlink" Target="https://www.mercadolibre.com.co/lector-biometrico-usb-digital-persona-uareu-4500/p/MCO27809732?has_official_store=false&amp;highlight=true&amp;headerTopBrand=true" TargetMode="External"/><Relationship Id="rId14" Type="http://schemas.openxmlformats.org/officeDocument/2006/relationships/hyperlink" Target="https://co.indeed.com/jobs?q=project+manager&amp;l=Pereira%2C+Risaralda&amp;from=searchOnHP%2Cwhereautocomplete&amp;vjk=7ef7cafcaaa75c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topLeftCell="D1" workbookViewId="0">
      <selection activeCell="T44" sqref="T44"/>
    </sheetView>
  </sheetViews>
  <sheetFormatPr baseColWidth="10" defaultColWidth="9.140625" defaultRowHeight="15" x14ac:dyDescent="0.25"/>
  <cols>
    <col min="1" max="1" width="52.7109375" customWidth="1"/>
    <col min="2" max="2" width="18.5703125" customWidth="1"/>
    <col min="3" max="3" width="16.28515625" customWidth="1"/>
    <col min="4" max="4" width="14.7109375" customWidth="1"/>
    <col min="5" max="6" width="19.7109375" customWidth="1"/>
    <col min="8" max="8" width="16.7109375" bestFit="1" customWidth="1"/>
    <col min="9" max="19" width="15.5703125" bestFit="1" customWidth="1"/>
    <col min="20" max="20" width="21.28515625" customWidth="1"/>
    <col min="21" max="21" width="82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90</v>
      </c>
      <c r="F1" s="3" t="s">
        <v>91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12" t="s">
        <v>94</v>
      </c>
      <c r="U1" s="4" t="s">
        <v>95</v>
      </c>
    </row>
    <row r="2" spans="1:21" x14ac:dyDescent="0.25">
      <c r="A2" s="5" t="s">
        <v>73</v>
      </c>
      <c r="B2" s="9" t="s">
        <v>18</v>
      </c>
      <c r="C2" s="10" t="s">
        <v>19</v>
      </c>
      <c r="D2" s="9">
        <v>5</v>
      </c>
      <c r="E2" s="6">
        <v>4499000</v>
      </c>
      <c r="F2" s="7">
        <f>E2*D2</f>
        <v>22495000</v>
      </c>
      <c r="H2" s="6">
        <f>F2</f>
        <v>22495000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f>SUM(H2:S2)</f>
        <v>22495000</v>
      </c>
      <c r="U2" s="13" t="s">
        <v>20</v>
      </c>
    </row>
    <row r="3" spans="1:21" x14ac:dyDescent="0.25">
      <c r="A3" s="5" t="s">
        <v>74</v>
      </c>
      <c r="B3" s="9" t="s">
        <v>18</v>
      </c>
      <c r="C3" s="10" t="s">
        <v>19</v>
      </c>
      <c r="D3" s="9">
        <v>8</v>
      </c>
      <c r="E3" s="6">
        <v>300000</v>
      </c>
      <c r="F3" s="7">
        <f>E3*D3</f>
        <v>2400000</v>
      </c>
      <c r="H3" s="6">
        <f>F3</f>
        <v>2400000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7">
        <f t="shared" ref="T3:T44" si="0">SUM(H3:S3)</f>
        <v>2400000</v>
      </c>
      <c r="U3" s="13" t="s">
        <v>22</v>
      </c>
    </row>
    <row r="4" spans="1:21" x14ac:dyDescent="0.25">
      <c r="A4" s="5" t="s">
        <v>113</v>
      </c>
      <c r="B4" s="9" t="s">
        <v>18</v>
      </c>
      <c r="C4" s="10" t="s">
        <v>19</v>
      </c>
      <c r="D4" s="9">
        <v>18</v>
      </c>
      <c r="E4" s="6">
        <v>134900</v>
      </c>
      <c r="F4" s="7">
        <f>E4*D4</f>
        <v>2428200</v>
      </c>
      <c r="H4" s="6">
        <f>F4</f>
        <v>2428200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7">
        <f t="shared" si="0"/>
        <v>2428200</v>
      </c>
      <c r="U4" s="13" t="s">
        <v>116</v>
      </c>
    </row>
    <row r="5" spans="1:21" x14ac:dyDescent="0.25">
      <c r="A5" s="5" t="s">
        <v>75</v>
      </c>
      <c r="B5" s="9" t="s">
        <v>18</v>
      </c>
      <c r="C5" s="10" t="s">
        <v>19</v>
      </c>
      <c r="D5" s="9">
        <v>5</v>
      </c>
      <c r="E5" s="6">
        <v>229990</v>
      </c>
      <c r="F5" s="7">
        <v>1149950</v>
      </c>
      <c r="H5" s="6">
        <v>1149950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7">
        <f t="shared" si="0"/>
        <v>1149950</v>
      </c>
      <c r="U5" s="13" t="s">
        <v>24</v>
      </c>
    </row>
    <row r="6" spans="1:21" x14ac:dyDescent="0.25">
      <c r="A6" s="5" t="s">
        <v>117</v>
      </c>
      <c r="B6" s="9" t="s">
        <v>18</v>
      </c>
      <c r="C6" s="10" t="s">
        <v>19</v>
      </c>
      <c r="D6" s="9">
        <v>3</v>
      </c>
      <c r="E6" s="6">
        <v>429900</v>
      </c>
      <c r="F6" s="7">
        <f t="shared" ref="F6:F14" si="1">E6*D6</f>
        <v>1289700</v>
      </c>
      <c r="H6" s="6">
        <f t="shared" ref="H6:H14" si="2">F6</f>
        <v>1289700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7">
        <f t="shared" si="0"/>
        <v>1289700</v>
      </c>
      <c r="U6" s="13" t="s">
        <v>120</v>
      </c>
    </row>
    <row r="7" spans="1:21" x14ac:dyDescent="0.25">
      <c r="A7" s="5" t="s">
        <v>118</v>
      </c>
      <c r="B7" s="9" t="s">
        <v>18</v>
      </c>
      <c r="C7" s="10" t="s">
        <v>19</v>
      </c>
      <c r="D7" s="9">
        <v>1</v>
      </c>
      <c r="E7" s="6">
        <v>476000</v>
      </c>
      <c r="F7" s="7">
        <f t="shared" si="1"/>
        <v>476000</v>
      </c>
      <c r="H7" s="6">
        <f t="shared" si="2"/>
        <v>476000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7">
        <f t="shared" si="0"/>
        <v>476000</v>
      </c>
      <c r="U7" s="13" t="s">
        <v>119</v>
      </c>
    </row>
    <row r="8" spans="1:21" x14ac:dyDescent="0.25">
      <c r="A8" s="5" t="s">
        <v>122</v>
      </c>
      <c r="B8" s="9" t="s">
        <v>18</v>
      </c>
      <c r="C8" s="10" t="s">
        <v>19</v>
      </c>
      <c r="D8" s="9">
        <v>2</v>
      </c>
      <c r="E8" s="6">
        <f>659900</f>
        <v>659900</v>
      </c>
      <c r="F8" s="7">
        <f t="shared" si="1"/>
        <v>1319800</v>
      </c>
      <c r="H8" s="6">
        <f t="shared" si="2"/>
        <v>1319800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7">
        <f t="shared" si="0"/>
        <v>1319800</v>
      </c>
      <c r="U8" s="13" t="s">
        <v>124</v>
      </c>
    </row>
    <row r="9" spans="1:21" x14ac:dyDescent="0.25">
      <c r="A9" s="5" t="s">
        <v>114</v>
      </c>
      <c r="B9" s="9" t="s">
        <v>18</v>
      </c>
      <c r="C9" s="10" t="s">
        <v>19</v>
      </c>
      <c r="D9" s="9">
        <v>2</v>
      </c>
      <c r="E9" s="6">
        <v>699900</v>
      </c>
      <c r="F9" s="7">
        <f t="shared" si="1"/>
        <v>1399800</v>
      </c>
      <c r="H9" s="6">
        <f t="shared" si="2"/>
        <v>1399800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7">
        <f t="shared" si="0"/>
        <v>1399800</v>
      </c>
      <c r="U9" s="13" t="s">
        <v>115</v>
      </c>
    </row>
    <row r="10" spans="1:21" x14ac:dyDescent="0.25">
      <c r="A10" s="5" t="s">
        <v>130</v>
      </c>
      <c r="B10" s="9" t="s">
        <v>18</v>
      </c>
      <c r="C10" s="10" t="s">
        <v>19</v>
      </c>
      <c r="D10" s="9">
        <v>4</v>
      </c>
      <c r="E10" s="6">
        <v>229000</v>
      </c>
      <c r="F10" s="7">
        <f t="shared" si="1"/>
        <v>916000</v>
      </c>
      <c r="H10" s="6">
        <f t="shared" si="2"/>
        <v>916000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7">
        <f t="shared" si="0"/>
        <v>916000</v>
      </c>
      <c r="U10" s="13" t="s">
        <v>131</v>
      </c>
    </row>
    <row r="11" spans="1:21" x14ac:dyDescent="0.25">
      <c r="A11" s="5" t="s">
        <v>129</v>
      </c>
      <c r="B11" s="9" t="s">
        <v>18</v>
      </c>
      <c r="C11" s="10" t="s">
        <v>19</v>
      </c>
      <c r="D11" s="9">
        <v>1</v>
      </c>
      <c r="E11" s="6">
        <v>699900</v>
      </c>
      <c r="F11" s="7">
        <f t="shared" si="1"/>
        <v>699900</v>
      </c>
      <c r="H11" s="6">
        <f t="shared" si="2"/>
        <v>699900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7">
        <f t="shared" si="0"/>
        <v>699900</v>
      </c>
      <c r="U11" s="13" t="s">
        <v>132</v>
      </c>
    </row>
    <row r="12" spans="1:21" x14ac:dyDescent="0.25">
      <c r="A12" s="5" t="s">
        <v>126</v>
      </c>
      <c r="B12" s="9" t="s">
        <v>18</v>
      </c>
      <c r="C12" s="10" t="s">
        <v>19</v>
      </c>
      <c r="D12" s="9">
        <v>3</v>
      </c>
      <c r="E12" s="6">
        <v>399900</v>
      </c>
      <c r="F12" s="7">
        <f t="shared" si="1"/>
        <v>1199700</v>
      </c>
      <c r="H12" s="6">
        <f t="shared" si="2"/>
        <v>1199700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7">
        <f t="shared" si="0"/>
        <v>1199700</v>
      </c>
      <c r="U12" s="13" t="s">
        <v>127</v>
      </c>
    </row>
    <row r="13" spans="1:21" x14ac:dyDescent="0.25">
      <c r="A13" s="5" t="s">
        <v>125</v>
      </c>
      <c r="B13" s="9" t="s">
        <v>18</v>
      </c>
      <c r="C13" s="10" t="s">
        <v>19</v>
      </c>
      <c r="D13" s="9">
        <v>3</v>
      </c>
      <c r="E13" s="6">
        <v>479900</v>
      </c>
      <c r="F13" s="7">
        <f t="shared" si="1"/>
        <v>1439700</v>
      </c>
      <c r="H13" s="6">
        <f t="shared" si="2"/>
        <v>1439700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7">
        <f t="shared" si="0"/>
        <v>1439700</v>
      </c>
      <c r="U13" s="13" t="s">
        <v>128</v>
      </c>
    </row>
    <row r="14" spans="1:21" x14ac:dyDescent="0.25">
      <c r="A14" s="5" t="s">
        <v>121</v>
      </c>
      <c r="B14" s="9" t="s">
        <v>18</v>
      </c>
      <c r="C14" s="10" t="s">
        <v>19</v>
      </c>
      <c r="D14" s="9">
        <v>1</v>
      </c>
      <c r="E14" s="6">
        <v>239900</v>
      </c>
      <c r="F14" s="7">
        <f t="shared" si="1"/>
        <v>239900</v>
      </c>
      <c r="H14" s="6">
        <f t="shared" si="2"/>
        <v>239900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7">
        <f t="shared" si="0"/>
        <v>239900</v>
      </c>
      <c r="U14" s="13" t="s">
        <v>123</v>
      </c>
    </row>
    <row r="15" spans="1:21" x14ac:dyDescent="0.25">
      <c r="A15" s="5" t="s">
        <v>76</v>
      </c>
      <c r="B15" s="9" t="s">
        <v>26</v>
      </c>
      <c r="C15" s="10" t="s">
        <v>27</v>
      </c>
      <c r="D15" s="9">
        <v>12</v>
      </c>
      <c r="E15" s="6">
        <v>1600000</v>
      </c>
      <c r="F15" s="7">
        <v>19200000</v>
      </c>
      <c r="H15" s="6">
        <v>1600000</v>
      </c>
      <c r="I15" s="6">
        <v>1600000</v>
      </c>
      <c r="J15" s="6">
        <v>1600000</v>
      </c>
      <c r="K15" s="6">
        <v>1600000</v>
      </c>
      <c r="L15" s="6">
        <v>1600000</v>
      </c>
      <c r="M15" s="6">
        <v>1600000</v>
      </c>
      <c r="N15" s="6">
        <v>1600000</v>
      </c>
      <c r="O15" s="6">
        <v>1600000</v>
      </c>
      <c r="P15" s="6">
        <v>1600000</v>
      </c>
      <c r="Q15" s="6">
        <v>1600000</v>
      </c>
      <c r="R15" s="6">
        <v>1600000</v>
      </c>
      <c r="S15" s="6">
        <v>1600000</v>
      </c>
      <c r="T15" s="7">
        <f t="shared" si="0"/>
        <v>19200000</v>
      </c>
      <c r="U15" s="13" t="s">
        <v>28</v>
      </c>
    </row>
    <row r="16" spans="1:21" x14ac:dyDescent="0.25">
      <c r="A16" s="5" t="s">
        <v>72</v>
      </c>
      <c r="B16" s="9" t="s">
        <v>18</v>
      </c>
      <c r="C16" s="10" t="s">
        <v>19</v>
      </c>
      <c r="D16" s="9">
        <v>1</v>
      </c>
      <c r="E16" s="6">
        <v>4284990</v>
      </c>
      <c r="F16" s="6">
        <v>4284990</v>
      </c>
      <c r="H16" s="6">
        <v>4284990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7">
        <f t="shared" si="0"/>
        <v>4284990</v>
      </c>
      <c r="U16" s="13" t="s">
        <v>71</v>
      </c>
    </row>
    <row r="17" spans="1:21" x14ac:dyDescent="0.25">
      <c r="A17" s="5" t="s">
        <v>77</v>
      </c>
      <c r="B17" s="9" t="s">
        <v>32</v>
      </c>
      <c r="C17" s="10" t="s">
        <v>19</v>
      </c>
      <c r="D17" s="9">
        <v>1</v>
      </c>
      <c r="E17" s="6">
        <v>139000</v>
      </c>
      <c r="F17" s="7">
        <v>139000</v>
      </c>
      <c r="H17" s="6">
        <v>139000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7">
        <f t="shared" si="0"/>
        <v>139000</v>
      </c>
      <c r="U17" s="13" t="s">
        <v>30</v>
      </c>
    </row>
    <row r="18" spans="1:21" x14ac:dyDescent="0.25">
      <c r="A18" s="5" t="s">
        <v>78</v>
      </c>
      <c r="B18" s="9" t="s">
        <v>18</v>
      </c>
      <c r="C18" s="10" t="s">
        <v>19</v>
      </c>
      <c r="D18" s="9">
        <v>2</v>
      </c>
      <c r="E18" s="6">
        <v>419900</v>
      </c>
      <c r="F18" s="7">
        <f>E18*D18</f>
        <v>839800</v>
      </c>
      <c r="H18" s="6">
        <f>$F$18</f>
        <v>839800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7">
        <f t="shared" si="0"/>
        <v>839800</v>
      </c>
      <c r="U18" s="13" t="s">
        <v>88</v>
      </c>
    </row>
    <row r="19" spans="1:21" x14ac:dyDescent="0.25">
      <c r="A19" s="5" t="s">
        <v>79</v>
      </c>
      <c r="B19" s="9" t="s">
        <v>18</v>
      </c>
      <c r="C19" s="10" t="s">
        <v>19</v>
      </c>
      <c r="D19" s="9">
        <v>1</v>
      </c>
      <c r="E19" s="6">
        <v>924500</v>
      </c>
      <c r="F19" s="7">
        <v>924500</v>
      </c>
      <c r="H19" s="6">
        <v>924500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7">
        <f t="shared" si="0"/>
        <v>924500</v>
      </c>
      <c r="U19" s="13" t="s">
        <v>89</v>
      </c>
    </row>
    <row r="20" spans="1:21" x14ac:dyDescent="0.25">
      <c r="A20" s="5" t="s">
        <v>80</v>
      </c>
      <c r="B20" s="9" t="s">
        <v>38</v>
      </c>
      <c r="C20" s="10" t="s">
        <v>27</v>
      </c>
      <c r="D20" s="9">
        <v>12</v>
      </c>
      <c r="E20" s="6">
        <v>200000</v>
      </c>
      <c r="F20" s="7">
        <v>2400000</v>
      </c>
      <c r="H20" s="6">
        <v>2400000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7">
        <f t="shared" si="0"/>
        <v>2400000</v>
      </c>
      <c r="U20" s="13" t="s">
        <v>39</v>
      </c>
    </row>
    <row r="21" spans="1:21" x14ac:dyDescent="0.25">
      <c r="A21" s="5" t="s">
        <v>81</v>
      </c>
      <c r="B21" s="9" t="s">
        <v>41</v>
      </c>
      <c r="C21" s="10" t="s">
        <v>42</v>
      </c>
      <c r="D21" s="9">
        <v>1000</v>
      </c>
      <c r="E21" s="6">
        <v>900</v>
      </c>
      <c r="F21" s="7">
        <f>D21*E21</f>
        <v>900000</v>
      </c>
      <c r="H21" s="6">
        <f>$F$21</f>
        <v>900000</v>
      </c>
      <c r="I21" s="6">
        <f t="shared" ref="I21:S21" si="3">$F$21</f>
        <v>900000</v>
      </c>
      <c r="J21" s="6">
        <f t="shared" si="3"/>
        <v>900000</v>
      </c>
      <c r="K21" s="6">
        <f t="shared" si="3"/>
        <v>900000</v>
      </c>
      <c r="L21" s="6">
        <f t="shared" si="3"/>
        <v>900000</v>
      </c>
      <c r="M21" s="6">
        <f t="shared" si="3"/>
        <v>900000</v>
      </c>
      <c r="N21" s="6">
        <f t="shared" si="3"/>
        <v>900000</v>
      </c>
      <c r="O21" s="6">
        <f t="shared" si="3"/>
        <v>900000</v>
      </c>
      <c r="P21" s="6">
        <f t="shared" si="3"/>
        <v>900000</v>
      </c>
      <c r="Q21" s="6">
        <f t="shared" si="3"/>
        <v>900000</v>
      </c>
      <c r="R21" s="6">
        <f t="shared" si="3"/>
        <v>900000</v>
      </c>
      <c r="S21" s="6">
        <f t="shared" si="3"/>
        <v>900000</v>
      </c>
      <c r="T21" s="7">
        <f t="shared" si="0"/>
        <v>10800000</v>
      </c>
      <c r="U21" s="13" t="s">
        <v>43</v>
      </c>
    </row>
    <row r="22" spans="1:21" x14ac:dyDescent="0.25">
      <c r="A22" s="5" t="s">
        <v>98</v>
      </c>
      <c r="B22" s="9" t="s">
        <v>45</v>
      </c>
      <c r="C22" s="10" t="s">
        <v>27</v>
      </c>
      <c r="D22" s="9">
        <v>6</v>
      </c>
      <c r="E22" s="6">
        <f>3600000*3</f>
        <v>10800000</v>
      </c>
      <c r="F22" s="7">
        <f>E22*D22</f>
        <v>64800000</v>
      </c>
      <c r="H22" s="6">
        <f t="shared" ref="H22:M23" si="4">$E$22</f>
        <v>10800000</v>
      </c>
      <c r="I22" s="6">
        <f t="shared" si="4"/>
        <v>10800000</v>
      </c>
      <c r="J22" s="6">
        <f t="shared" si="4"/>
        <v>10800000</v>
      </c>
      <c r="K22" s="6">
        <f t="shared" si="4"/>
        <v>10800000</v>
      </c>
      <c r="L22" s="6">
        <f t="shared" si="4"/>
        <v>10800000</v>
      </c>
      <c r="M22" s="6">
        <f t="shared" si="4"/>
        <v>10800000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7">
        <f t="shared" si="0"/>
        <v>64800000</v>
      </c>
      <c r="U22" s="13" t="s">
        <v>46</v>
      </c>
    </row>
    <row r="23" spans="1:21" x14ac:dyDescent="0.25">
      <c r="A23" s="5" t="s">
        <v>99</v>
      </c>
      <c r="B23" s="9" t="s">
        <v>45</v>
      </c>
      <c r="C23" s="10" t="s">
        <v>27</v>
      </c>
      <c r="D23" s="9">
        <v>6</v>
      </c>
      <c r="E23" s="6">
        <f>3600000*3</f>
        <v>10800000</v>
      </c>
      <c r="F23" s="7">
        <f>E23*D23</f>
        <v>64800000</v>
      </c>
      <c r="H23" s="6">
        <f t="shared" si="4"/>
        <v>10800000</v>
      </c>
      <c r="I23" s="6">
        <f t="shared" si="4"/>
        <v>10800000</v>
      </c>
      <c r="J23" s="6">
        <f t="shared" si="4"/>
        <v>10800000</v>
      </c>
      <c r="K23" s="6">
        <f t="shared" si="4"/>
        <v>10800000</v>
      </c>
      <c r="L23" s="6">
        <f t="shared" si="4"/>
        <v>10800000</v>
      </c>
      <c r="M23" s="6">
        <f t="shared" si="4"/>
        <v>10800000</v>
      </c>
      <c r="N23" s="6"/>
      <c r="O23" s="6"/>
      <c r="P23" s="6"/>
      <c r="Q23" s="6"/>
      <c r="R23" s="6"/>
      <c r="S23" s="6"/>
      <c r="T23" s="7">
        <f t="shared" si="0"/>
        <v>64800000</v>
      </c>
      <c r="U23" s="13" t="s">
        <v>100</v>
      </c>
    </row>
    <row r="24" spans="1:21" x14ac:dyDescent="0.25">
      <c r="A24" s="5" t="s">
        <v>82</v>
      </c>
      <c r="B24" s="9" t="s">
        <v>45</v>
      </c>
      <c r="C24" s="10" t="s">
        <v>27</v>
      </c>
      <c r="D24" s="9">
        <v>6</v>
      </c>
      <c r="E24" s="6">
        <v>5000000</v>
      </c>
      <c r="F24" s="7">
        <v>30000000</v>
      </c>
      <c r="H24" s="6">
        <v>5000000</v>
      </c>
      <c r="I24" s="6">
        <v>5000000</v>
      </c>
      <c r="J24" s="6">
        <v>5000000</v>
      </c>
      <c r="K24" s="6">
        <v>5000000</v>
      </c>
      <c r="L24" s="6">
        <v>5000000</v>
      </c>
      <c r="M24" s="6">
        <v>5000000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7">
        <f t="shared" si="0"/>
        <v>30000000</v>
      </c>
      <c r="U24" s="13" t="s">
        <v>92</v>
      </c>
    </row>
    <row r="25" spans="1:21" x14ac:dyDescent="0.25">
      <c r="A25" s="5" t="s">
        <v>83</v>
      </c>
      <c r="B25" s="9" t="s">
        <v>45</v>
      </c>
      <c r="C25" s="10" t="s">
        <v>27</v>
      </c>
      <c r="D25" s="9">
        <v>4</v>
      </c>
      <c r="E25" s="6">
        <v>5000000</v>
      </c>
      <c r="F25" s="7">
        <f t="shared" ref="F25:F43" si="5">E25*D25</f>
        <v>20000000</v>
      </c>
      <c r="H25" s="6">
        <f>$E$25</f>
        <v>5000000</v>
      </c>
      <c r="I25" s="6">
        <f t="shared" ref="I25:M25" si="6">$E$25</f>
        <v>5000000</v>
      </c>
      <c r="J25" s="6">
        <f t="shared" si="6"/>
        <v>5000000</v>
      </c>
      <c r="K25" s="6">
        <f t="shared" si="6"/>
        <v>5000000</v>
      </c>
      <c r="L25" s="6">
        <f t="shared" si="6"/>
        <v>5000000</v>
      </c>
      <c r="M25" s="6">
        <f t="shared" si="6"/>
        <v>5000000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7">
        <f t="shared" si="0"/>
        <v>30000000</v>
      </c>
      <c r="U25" s="13" t="s">
        <v>93</v>
      </c>
    </row>
    <row r="26" spans="1:21" x14ac:dyDescent="0.25">
      <c r="A26" s="5" t="s">
        <v>84</v>
      </c>
      <c r="B26" s="9" t="s">
        <v>32</v>
      </c>
      <c r="C26" s="9" t="s">
        <v>27</v>
      </c>
      <c r="D26" s="9">
        <v>1</v>
      </c>
      <c r="E26" s="6">
        <v>41000</v>
      </c>
      <c r="F26" s="7">
        <f t="shared" si="5"/>
        <v>41000</v>
      </c>
      <c r="H26" s="6">
        <f>$F$26</f>
        <v>41000</v>
      </c>
      <c r="I26" s="6">
        <v>0</v>
      </c>
      <c r="J26" s="6">
        <f>$F$26</f>
        <v>41000</v>
      </c>
      <c r="K26" s="6">
        <v>0</v>
      </c>
      <c r="L26" s="6">
        <f>$F$26</f>
        <v>41000</v>
      </c>
      <c r="M26" s="6">
        <v>0</v>
      </c>
      <c r="N26" s="6">
        <f>$F$26</f>
        <v>41000</v>
      </c>
      <c r="O26" s="6">
        <v>0</v>
      </c>
      <c r="P26" s="6">
        <f>$F$26</f>
        <v>41000</v>
      </c>
      <c r="Q26" s="6">
        <v>0</v>
      </c>
      <c r="R26" s="6">
        <f>$F$26</f>
        <v>41000</v>
      </c>
      <c r="S26" s="6">
        <v>0</v>
      </c>
      <c r="T26" s="7">
        <f t="shared" si="0"/>
        <v>246000</v>
      </c>
      <c r="U26" s="13" t="s">
        <v>85</v>
      </c>
    </row>
    <row r="27" spans="1:21" x14ac:dyDescent="0.25">
      <c r="A27" s="5" t="s">
        <v>52</v>
      </c>
      <c r="B27" s="9" t="s">
        <v>41</v>
      </c>
      <c r="C27" s="10" t="s">
        <v>53</v>
      </c>
      <c r="D27" s="9">
        <v>1</v>
      </c>
      <c r="E27" s="6">
        <v>1000000</v>
      </c>
      <c r="F27" s="7">
        <f t="shared" si="5"/>
        <v>1000000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1000000</v>
      </c>
      <c r="O27" s="6">
        <v>0</v>
      </c>
      <c r="P27" s="6">
        <v>0</v>
      </c>
      <c r="Q27" s="6">
        <v>0</v>
      </c>
      <c r="R27" s="6">
        <v>0</v>
      </c>
      <c r="S27" s="6">
        <v>1000000</v>
      </c>
      <c r="T27" s="7">
        <f t="shared" si="0"/>
        <v>2000000</v>
      </c>
      <c r="U27" s="13" t="s">
        <v>69</v>
      </c>
    </row>
    <row r="28" spans="1:21" x14ac:dyDescent="0.25">
      <c r="A28" s="5" t="s">
        <v>86</v>
      </c>
      <c r="B28" s="9" t="s">
        <v>32</v>
      </c>
      <c r="C28" s="10" t="s">
        <v>27</v>
      </c>
      <c r="D28" s="9">
        <v>1</v>
      </c>
      <c r="E28" s="6">
        <v>90000</v>
      </c>
      <c r="F28" s="7">
        <f t="shared" si="5"/>
        <v>90000</v>
      </c>
      <c r="H28" s="6">
        <f>$F$28</f>
        <v>90000</v>
      </c>
      <c r="I28" s="6">
        <f t="shared" ref="I28:S28" si="7">$F$28</f>
        <v>90000</v>
      </c>
      <c r="J28" s="6">
        <f t="shared" si="7"/>
        <v>90000</v>
      </c>
      <c r="K28" s="6">
        <f t="shared" si="7"/>
        <v>90000</v>
      </c>
      <c r="L28" s="6">
        <f t="shared" si="7"/>
        <v>90000</v>
      </c>
      <c r="M28" s="6">
        <f t="shared" si="7"/>
        <v>90000</v>
      </c>
      <c r="N28" s="6">
        <f t="shared" si="7"/>
        <v>90000</v>
      </c>
      <c r="O28" s="6">
        <f t="shared" si="7"/>
        <v>90000</v>
      </c>
      <c r="P28" s="6">
        <f t="shared" si="7"/>
        <v>90000</v>
      </c>
      <c r="Q28" s="6">
        <f t="shared" si="7"/>
        <v>90000</v>
      </c>
      <c r="R28" s="6">
        <f t="shared" si="7"/>
        <v>90000</v>
      </c>
      <c r="S28" s="6">
        <f t="shared" si="7"/>
        <v>90000</v>
      </c>
      <c r="T28" s="7">
        <f t="shared" si="0"/>
        <v>1080000</v>
      </c>
      <c r="U28" s="13" t="s">
        <v>87</v>
      </c>
    </row>
    <row r="29" spans="1:21" x14ac:dyDescent="0.25">
      <c r="A29" s="5" t="s">
        <v>112</v>
      </c>
      <c r="B29" s="9" t="s">
        <v>45</v>
      </c>
      <c r="C29" s="10" t="s">
        <v>27</v>
      </c>
      <c r="D29" s="9">
        <v>12</v>
      </c>
      <c r="E29" s="6">
        <v>2000000</v>
      </c>
      <c r="F29" s="7">
        <f t="shared" si="5"/>
        <v>24000000</v>
      </c>
      <c r="H29" s="6">
        <f>$E$29</f>
        <v>2000000</v>
      </c>
      <c r="I29" s="6">
        <f t="shared" ref="I29:S29" si="8">$E$29</f>
        <v>2000000</v>
      </c>
      <c r="J29" s="6">
        <f t="shared" si="8"/>
        <v>2000000</v>
      </c>
      <c r="K29" s="6">
        <f t="shared" si="8"/>
        <v>2000000</v>
      </c>
      <c r="L29" s="6">
        <f t="shared" si="8"/>
        <v>2000000</v>
      </c>
      <c r="M29" s="6">
        <f t="shared" si="8"/>
        <v>2000000</v>
      </c>
      <c r="N29" s="6">
        <f t="shared" si="8"/>
        <v>2000000</v>
      </c>
      <c r="O29" s="6">
        <f t="shared" si="8"/>
        <v>2000000</v>
      </c>
      <c r="P29" s="6">
        <f t="shared" si="8"/>
        <v>2000000</v>
      </c>
      <c r="Q29" s="6">
        <f t="shared" si="8"/>
        <v>2000000</v>
      </c>
      <c r="R29" s="6">
        <f t="shared" si="8"/>
        <v>2000000</v>
      </c>
      <c r="S29" s="6">
        <f t="shared" si="8"/>
        <v>2000000</v>
      </c>
      <c r="T29" s="7">
        <f t="shared" si="0"/>
        <v>24000000</v>
      </c>
      <c r="U29" s="13"/>
    </row>
    <row r="30" spans="1:21" x14ac:dyDescent="0.25">
      <c r="A30" s="5" t="s">
        <v>111</v>
      </c>
      <c r="B30" s="9" t="s">
        <v>45</v>
      </c>
      <c r="C30" s="10" t="s">
        <v>27</v>
      </c>
      <c r="D30" s="9">
        <v>12</v>
      </c>
      <c r="E30" s="6">
        <f>1800000*4</f>
        <v>7200000</v>
      </c>
      <c r="F30" s="7">
        <f t="shared" si="5"/>
        <v>86400000</v>
      </c>
      <c r="H30" s="6">
        <f>$E$30</f>
        <v>7200000</v>
      </c>
      <c r="I30" s="6">
        <f t="shared" ref="I30:S30" si="9">$E$30</f>
        <v>7200000</v>
      </c>
      <c r="J30" s="6">
        <f t="shared" si="9"/>
        <v>7200000</v>
      </c>
      <c r="K30" s="6">
        <f t="shared" si="9"/>
        <v>7200000</v>
      </c>
      <c r="L30" s="6">
        <f t="shared" si="9"/>
        <v>7200000</v>
      </c>
      <c r="M30" s="6">
        <f t="shared" si="9"/>
        <v>7200000</v>
      </c>
      <c r="N30" s="6">
        <f t="shared" si="9"/>
        <v>7200000</v>
      </c>
      <c r="O30" s="6">
        <f t="shared" si="9"/>
        <v>7200000</v>
      </c>
      <c r="P30" s="6">
        <f t="shared" si="9"/>
        <v>7200000</v>
      </c>
      <c r="Q30" s="6">
        <f t="shared" si="9"/>
        <v>7200000</v>
      </c>
      <c r="R30" s="6">
        <f t="shared" si="9"/>
        <v>7200000</v>
      </c>
      <c r="S30" s="6">
        <f t="shared" si="9"/>
        <v>7200000</v>
      </c>
      <c r="T30" s="7">
        <f t="shared" si="0"/>
        <v>86400000</v>
      </c>
      <c r="U30" s="13"/>
    </row>
    <row r="31" spans="1:21" x14ac:dyDescent="0.25">
      <c r="A31" s="5" t="s">
        <v>96</v>
      </c>
      <c r="B31" s="9" t="s">
        <v>45</v>
      </c>
      <c r="C31" s="10" t="s">
        <v>27</v>
      </c>
      <c r="D31" s="9">
        <v>12</v>
      </c>
      <c r="E31" s="6">
        <v>1327925</v>
      </c>
      <c r="F31" s="7">
        <f t="shared" si="5"/>
        <v>15935100</v>
      </c>
      <c r="H31" s="6">
        <f t="shared" ref="H31:S31" si="10">$E$31</f>
        <v>1327925</v>
      </c>
      <c r="I31" s="6">
        <f t="shared" si="10"/>
        <v>1327925</v>
      </c>
      <c r="J31" s="6">
        <f t="shared" si="10"/>
        <v>1327925</v>
      </c>
      <c r="K31" s="6">
        <f t="shared" si="10"/>
        <v>1327925</v>
      </c>
      <c r="L31" s="6">
        <f t="shared" si="10"/>
        <v>1327925</v>
      </c>
      <c r="M31" s="6">
        <f t="shared" si="10"/>
        <v>1327925</v>
      </c>
      <c r="N31" s="6">
        <f t="shared" si="10"/>
        <v>1327925</v>
      </c>
      <c r="O31" s="6">
        <f t="shared" si="10"/>
        <v>1327925</v>
      </c>
      <c r="P31" s="6">
        <f t="shared" si="10"/>
        <v>1327925</v>
      </c>
      <c r="Q31" s="6">
        <f t="shared" si="10"/>
        <v>1327925</v>
      </c>
      <c r="R31" s="6">
        <f t="shared" si="10"/>
        <v>1327925</v>
      </c>
      <c r="S31" s="6">
        <f t="shared" si="10"/>
        <v>1327925</v>
      </c>
      <c r="T31" s="7">
        <f t="shared" si="0"/>
        <v>15935100</v>
      </c>
      <c r="U31" s="13" t="s">
        <v>97</v>
      </c>
    </row>
    <row r="32" spans="1:21" x14ac:dyDescent="0.25">
      <c r="A32" s="5" t="s">
        <v>101</v>
      </c>
      <c r="B32" s="9" t="s">
        <v>45</v>
      </c>
      <c r="C32" s="10" t="s">
        <v>27</v>
      </c>
      <c r="D32" s="9">
        <v>12</v>
      </c>
      <c r="E32" s="6">
        <v>2900000</v>
      </c>
      <c r="F32" s="7">
        <f t="shared" si="5"/>
        <v>34800000</v>
      </c>
      <c r="H32" s="6">
        <f>$E$32</f>
        <v>2900000</v>
      </c>
      <c r="I32" s="6">
        <f t="shared" ref="I32:S32" si="11">$E$32</f>
        <v>2900000</v>
      </c>
      <c r="J32" s="6">
        <f t="shared" si="11"/>
        <v>2900000</v>
      </c>
      <c r="K32" s="6">
        <f t="shared" si="11"/>
        <v>2900000</v>
      </c>
      <c r="L32" s="6">
        <f t="shared" si="11"/>
        <v>2900000</v>
      </c>
      <c r="M32" s="6">
        <f t="shared" si="11"/>
        <v>2900000</v>
      </c>
      <c r="N32" s="6">
        <f t="shared" si="11"/>
        <v>2900000</v>
      </c>
      <c r="O32" s="6">
        <f t="shared" si="11"/>
        <v>2900000</v>
      </c>
      <c r="P32" s="6">
        <f t="shared" si="11"/>
        <v>2900000</v>
      </c>
      <c r="Q32" s="6">
        <f t="shared" si="11"/>
        <v>2900000</v>
      </c>
      <c r="R32" s="6">
        <f t="shared" si="11"/>
        <v>2900000</v>
      </c>
      <c r="S32" s="6">
        <f t="shared" si="11"/>
        <v>2900000</v>
      </c>
      <c r="T32" s="7">
        <f t="shared" si="0"/>
        <v>34800000</v>
      </c>
      <c r="U32" s="13" t="s">
        <v>102</v>
      </c>
    </row>
    <row r="33" spans="1:21" x14ac:dyDescent="0.25">
      <c r="A33" s="5" t="s">
        <v>103</v>
      </c>
      <c r="B33" s="9" t="s">
        <v>45</v>
      </c>
      <c r="C33" s="10" t="s">
        <v>27</v>
      </c>
      <c r="D33" s="9">
        <v>12</v>
      </c>
      <c r="E33" s="6">
        <v>3400000</v>
      </c>
      <c r="F33" s="7">
        <f t="shared" si="5"/>
        <v>40800000</v>
      </c>
      <c r="H33" s="6">
        <f>$E$33</f>
        <v>3400000</v>
      </c>
      <c r="I33" s="6">
        <f t="shared" ref="I33:S33" si="12">$E$33</f>
        <v>3400000</v>
      </c>
      <c r="J33" s="6">
        <f t="shared" si="12"/>
        <v>3400000</v>
      </c>
      <c r="K33" s="6">
        <f t="shared" si="12"/>
        <v>3400000</v>
      </c>
      <c r="L33" s="6">
        <f t="shared" si="12"/>
        <v>3400000</v>
      </c>
      <c r="M33" s="6">
        <f t="shared" si="12"/>
        <v>3400000</v>
      </c>
      <c r="N33" s="6">
        <f t="shared" si="12"/>
        <v>3400000</v>
      </c>
      <c r="O33" s="6">
        <f t="shared" si="12"/>
        <v>3400000</v>
      </c>
      <c r="P33" s="6">
        <f t="shared" si="12"/>
        <v>3400000</v>
      </c>
      <c r="Q33" s="6">
        <f t="shared" si="12"/>
        <v>3400000</v>
      </c>
      <c r="R33" s="6">
        <f t="shared" si="12"/>
        <v>3400000</v>
      </c>
      <c r="S33" s="6">
        <f t="shared" si="12"/>
        <v>3400000</v>
      </c>
      <c r="T33" s="7">
        <f t="shared" si="0"/>
        <v>40800000</v>
      </c>
      <c r="U33" s="13" t="s">
        <v>104</v>
      </c>
    </row>
    <row r="34" spans="1:21" x14ac:dyDescent="0.25">
      <c r="A34" s="5" t="s">
        <v>105</v>
      </c>
      <c r="B34" s="9" t="s">
        <v>45</v>
      </c>
      <c r="C34" s="10" t="s">
        <v>27</v>
      </c>
      <c r="D34" s="9">
        <v>12</v>
      </c>
      <c r="E34" s="6">
        <v>6000000</v>
      </c>
      <c r="F34" s="7">
        <f t="shared" si="5"/>
        <v>72000000</v>
      </c>
      <c r="H34" s="6">
        <f>$E$34</f>
        <v>6000000</v>
      </c>
      <c r="I34" s="6">
        <f t="shared" ref="I34:S34" si="13">$E$34</f>
        <v>6000000</v>
      </c>
      <c r="J34" s="6">
        <f t="shared" si="13"/>
        <v>6000000</v>
      </c>
      <c r="K34" s="6">
        <f t="shared" si="13"/>
        <v>6000000</v>
      </c>
      <c r="L34" s="6">
        <f t="shared" si="13"/>
        <v>6000000</v>
      </c>
      <c r="M34" s="6">
        <f t="shared" si="13"/>
        <v>6000000</v>
      </c>
      <c r="N34" s="6">
        <f t="shared" si="13"/>
        <v>6000000</v>
      </c>
      <c r="O34" s="6">
        <f t="shared" si="13"/>
        <v>6000000</v>
      </c>
      <c r="P34" s="6">
        <f t="shared" si="13"/>
        <v>6000000</v>
      </c>
      <c r="Q34" s="6">
        <f t="shared" si="13"/>
        <v>6000000</v>
      </c>
      <c r="R34" s="6">
        <f t="shared" si="13"/>
        <v>6000000</v>
      </c>
      <c r="S34" s="6">
        <f t="shared" si="13"/>
        <v>6000000</v>
      </c>
      <c r="T34" s="7">
        <f t="shared" si="0"/>
        <v>72000000</v>
      </c>
      <c r="U34" s="13" t="s">
        <v>106</v>
      </c>
    </row>
    <row r="35" spans="1:21" x14ac:dyDescent="0.25">
      <c r="A35" s="5" t="s">
        <v>107</v>
      </c>
      <c r="B35" s="9" t="s">
        <v>45</v>
      </c>
      <c r="C35" s="10" t="s">
        <v>27</v>
      </c>
      <c r="D35" s="9">
        <v>12</v>
      </c>
      <c r="E35" s="6">
        <v>3800000</v>
      </c>
      <c r="F35" s="7">
        <f t="shared" si="5"/>
        <v>45600000</v>
      </c>
      <c r="H35" s="6">
        <f t="shared" ref="H35:S35" si="14">$E$35</f>
        <v>3800000</v>
      </c>
      <c r="I35" s="6">
        <f t="shared" si="14"/>
        <v>3800000</v>
      </c>
      <c r="J35" s="6">
        <f t="shared" si="14"/>
        <v>3800000</v>
      </c>
      <c r="K35" s="6">
        <f t="shared" si="14"/>
        <v>3800000</v>
      </c>
      <c r="L35" s="6">
        <f t="shared" si="14"/>
        <v>3800000</v>
      </c>
      <c r="M35" s="6">
        <f t="shared" si="14"/>
        <v>3800000</v>
      </c>
      <c r="N35" s="6">
        <f t="shared" si="14"/>
        <v>3800000</v>
      </c>
      <c r="O35" s="6">
        <f t="shared" si="14"/>
        <v>3800000</v>
      </c>
      <c r="P35" s="6">
        <f t="shared" si="14"/>
        <v>3800000</v>
      </c>
      <c r="Q35" s="6">
        <f t="shared" si="14"/>
        <v>3800000</v>
      </c>
      <c r="R35" s="6">
        <f t="shared" si="14"/>
        <v>3800000</v>
      </c>
      <c r="S35" s="6">
        <f t="shared" si="14"/>
        <v>3800000</v>
      </c>
      <c r="T35" s="7">
        <f t="shared" si="0"/>
        <v>45600000</v>
      </c>
      <c r="U35" s="13" t="s">
        <v>108</v>
      </c>
    </row>
    <row r="36" spans="1:21" x14ac:dyDescent="0.25">
      <c r="A36" s="5" t="s">
        <v>109</v>
      </c>
      <c r="B36" s="9" t="s">
        <v>45</v>
      </c>
      <c r="C36" s="10" t="s">
        <v>27</v>
      </c>
      <c r="D36" s="9">
        <v>12</v>
      </c>
      <c r="E36" s="6">
        <v>10000000</v>
      </c>
      <c r="F36" s="7">
        <f t="shared" si="5"/>
        <v>120000000</v>
      </c>
      <c r="H36" s="6">
        <f>$E$36</f>
        <v>10000000</v>
      </c>
      <c r="I36" s="6">
        <f t="shared" ref="I36:S36" si="15">$E$36</f>
        <v>10000000</v>
      </c>
      <c r="J36" s="6">
        <f t="shared" si="15"/>
        <v>10000000</v>
      </c>
      <c r="K36" s="6">
        <f t="shared" si="15"/>
        <v>10000000</v>
      </c>
      <c r="L36" s="6">
        <f t="shared" si="15"/>
        <v>10000000</v>
      </c>
      <c r="M36" s="6">
        <f t="shared" si="15"/>
        <v>10000000</v>
      </c>
      <c r="N36" s="6">
        <f t="shared" si="15"/>
        <v>10000000</v>
      </c>
      <c r="O36" s="6">
        <f t="shared" si="15"/>
        <v>10000000</v>
      </c>
      <c r="P36" s="6">
        <f t="shared" si="15"/>
        <v>10000000</v>
      </c>
      <c r="Q36" s="6">
        <f t="shared" si="15"/>
        <v>10000000</v>
      </c>
      <c r="R36" s="6">
        <f t="shared" si="15"/>
        <v>10000000</v>
      </c>
      <c r="S36" s="6">
        <f t="shared" si="15"/>
        <v>10000000</v>
      </c>
      <c r="T36" s="7">
        <f t="shared" si="0"/>
        <v>120000000</v>
      </c>
      <c r="U36" s="13" t="s">
        <v>110</v>
      </c>
    </row>
    <row r="37" spans="1:21" x14ac:dyDescent="0.25">
      <c r="A37" s="5" t="s">
        <v>133</v>
      </c>
      <c r="B37" s="9" t="s">
        <v>41</v>
      </c>
      <c r="C37" s="10" t="s">
        <v>27</v>
      </c>
      <c r="D37" s="9">
        <v>2</v>
      </c>
      <c r="E37" s="6">
        <v>5000000</v>
      </c>
      <c r="F37" s="7">
        <f t="shared" si="5"/>
        <v>10000000</v>
      </c>
      <c r="H37" s="6">
        <f>E37</f>
        <v>5000000</v>
      </c>
      <c r="I37" s="6">
        <f>E37</f>
        <v>5000000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7">
        <f t="shared" si="0"/>
        <v>10000000</v>
      </c>
      <c r="U37" s="13"/>
    </row>
    <row r="38" spans="1:21" x14ac:dyDescent="0.25">
      <c r="A38" s="5" t="s">
        <v>134</v>
      </c>
      <c r="B38" s="9" t="s">
        <v>41</v>
      </c>
      <c r="C38" s="10" t="s">
        <v>27</v>
      </c>
      <c r="D38" s="9">
        <v>1</v>
      </c>
      <c r="E38" s="6">
        <v>2000000</v>
      </c>
      <c r="F38" s="7">
        <f t="shared" si="5"/>
        <v>2000000</v>
      </c>
      <c r="H38" s="6">
        <f>F38</f>
        <v>2000000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7">
        <f t="shared" si="0"/>
        <v>2000000</v>
      </c>
      <c r="U38" s="13"/>
    </row>
    <row r="39" spans="1:21" x14ac:dyDescent="0.25">
      <c r="A39" s="5" t="s">
        <v>135</v>
      </c>
      <c r="B39" s="9" t="s">
        <v>41</v>
      </c>
      <c r="C39" s="10" t="s">
        <v>27</v>
      </c>
      <c r="D39" s="9">
        <v>1</v>
      </c>
      <c r="E39" s="6">
        <v>6000000</v>
      </c>
      <c r="F39" s="7">
        <f t="shared" si="5"/>
        <v>6000000</v>
      </c>
      <c r="H39" s="6">
        <f t="shared" ref="H39:H42" si="16">F39</f>
        <v>6000000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7">
        <f t="shared" si="0"/>
        <v>6000000</v>
      </c>
      <c r="U39" s="13"/>
    </row>
    <row r="40" spans="1:21" x14ac:dyDescent="0.25">
      <c r="A40" s="5" t="s">
        <v>136</v>
      </c>
      <c r="B40" s="9" t="s">
        <v>41</v>
      </c>
      <c r="C40" s="10" t="s">
        <v>27</v>
      </c>
      <c r="D40" s="9">
        <v>1</v>
      </c>
      <c r="E40" s="6">
        <v>12000000</v>
      </c>
      <c r="F40" s="7">
        <f t="shared" si="5"/>
        <v>12000000</v>
      </c>
      <c r="H40" s="6">
        <f t="shared" si="16"/>
        <v>12000000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7">
        <f t="shared" si="0"/>
        <v>12000000</v>
      </c>
      <c r="U40" s="13"/>
    </row>
    <row r="41" spans="1:21" x14ac:dyDescent="0.25">
      <c r="A41" s="5" t="s">
        <v>138</v>
      </c>
      <c r="B41" s="9" t="s">
        <v>41</v>
      </c>
      <c r="C41" s="10" t="s">
        <v>27</v>
      </c>
      <c r="D41" s="9">
        <v>1</v>
      </c>
      <c r="E41" s="16">
        <v>2000000</v>
      </c>
      <c r="F41" s="7">
        <f t="shared" si="5"/>
        <v>2000000</v>
      </c>
      <c r="H41" s="6">
        <f t="shared" si="16"/>
        <v>2000000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7">
        <f t="shared" si="0"/>
        <v>2000000</v>
      </c>
      <c r="U41" s="13"/>
    </row>
    <row r="42" spans="1:21" x14ac:dyDescent="0.25">
      <c r="A42" s="5" t="s">
        <v>137</v>
      </c>
      <c r="B42" s="9" t="s">
        <v>41</v>
      </c>
      <c r="C42" s="10" t="s">
        <v>27</v>
      </c>
      <c r="D42" s="9">
        <v>1</v>
      </c>
      <c r="E42" s="6">
        <v>12000000</v>
      </c>
      <c r="F42" s="7">
        <f t="shared" si="5"/>
        <v>12000000</v>
      </c>
      <c r="H42" s="6">
        <f t="shared" si="16"/>
        <v>12000000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7">
        <f t="shared" si="0"/>
        <v>12000000</v>
      </c>
      <c r="U42" s="13"/>
    </row>
    <row r="43" spans="1:21" x14ac:dyDescent="0.25">
      <c r="A43" s="5" t="s">
        <v>57</v>
      </c>
      <c r="B43" s="9" t="s">
        <v>58</v>
      </c>
      <c r="C43" s="10" t="s">
        <v>59</v>
      </c>
      <c r="D43" s="9">
        <v>3</v>
      </c>
      <c r="E43" s="6">
        <v>2000000</v>
      </c>
      <c r="F43" s="7">
        <f t="shared" si="5"/>
        <v>6000000</v>
      </c>
      <c r="H43" s="6">
        <f>$F$43</f>
        <v>6000000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7">
        <f t="shared" si="0"/>
        <v>6000000</v>
      </c>
      <c r="U43" s="13" t="s">
        <v>70</v>
      </c>
    </row>
    <row r="44" spans="1:21" ht="18.75" x14ac:dyDescent="0.3">
      <c r="A44" s="17" t="s">
        <v>68</v>
      </c>
      <c r="B44" s="18"/>
      <c r="C44" s="18"/>
      <c r="D44" s="18"/>
      <c r="E44" s="18"/>
      <c r="F44" s="19"/>
      <c r="H44" s="15">
        <f t="shared" ref="H44:S44" si="17">SUM(H2:H43)</f>
        <v>161900865</v>
      </c>
      <c r="I44" s="15">
        <f t="shared" si="17"/>
        <v>75817925</v>
      </c>
      <c r="J44" s="15">
        <f t="shared" si="17"/>
        <v>70858925</v>
      </c>
      <c r="K44" s="15">
        <f t="shared" si="17"/>
        <v>70817925</v>
      </c>
      <c r="L44" s="15">
        <f t="shared" si="17"/>
        <v>70858925</v>
      </c>
      <c r="M44" s="15">
        <f t="shared" si="17"/>
        <v>70817925</v>
      </c>
      <c r="N44" s="15">
        <f t="shared" si="17"/>
        <v>40258925</v>
      </c>
      <c r="O44" s="15">
        <f t="shared" si="17"/>
        <v>39217925</v>
      </c>
      <c r="P44" s="15">
        <f t="shared" si="17"/>
        <v>39258925</v>
      </c>
      <c r="Q44" s="15">
        <f t="shared" si="17"/>
        <v>39217925</v>
      </c>
      <c r="R44" s="15">
        <f t="shared" si="17"/>
        <v>39258925</v>
      </c>
      <c r="S44" s="15">
        <f t="shared" si="17"/>
        <v>40217925</v>
      </c>
      <c r="T44" s="14">
        <f t="shared" si="0"/>
        <v>758503040</v>
      </c>
    </row>
    <row r="45" spans="1:21" x14ac:dyDescent="0.25">
      <c r="T45" s="11"/>
    </row>
    <row r="46" spans="1:21" x14ac:dyDescent="0.25">
      <c r="B46" s="21" t="s">
        <v>139</v>
      </c>
      <c r="C46" s="22" t="s">
        <v>3</v>
      </c>
      <c r="D46" s="23" t="s">
        <v>91</v>
      </c>
    </row>
    <row r="47" spans="1:21" x14ac:dyDescent="0.25">
      <c r="B47" s="20" t="s">
        <v>18</v>
      </c>
      <c r="C47" s="5">
        <f>SUMIF($B$2:$B$44, B47, $D$2:$D$44)</f>
        <v>60</v>
      </c>
      <c r="D47" s="5">
        <f>SUMIF($B$2:$B$44, B47, $F$2:$F$44)</f>
        <v>43502940</v>
      </c>
    </row>
    <row r="48" spans="1:21" x14ac:dyDescent="0.25">
      <c r="B48" s="20" t="s">
        <v>32</v>
      </c>
      <c r="C48" s="5">
        <f t="shared" ref="C48:C52" si="18">SUMIF($B$2:$B$44, B48, $D$2:$D$44)</f>
        <v>3</v>
      </c>
      <c r="D48" s="5">
        <f t="shared" ref="D48:D52" si="19">SUMIF($B$2:$B$44, B48, $F$2:$F$44)</f>
        <v>270000</v>
      </c>
    </row>
    <row r="49" spans="2:4" x14ac:dyDescent="0.25">
      <c r="B49" s="20" t="s">
        <v>26</v>
      </c>
      <c r="C49" s="5">
        <f t="shared" si="18"/>
        <v>12</v>
      </c>
      <c r="D49" s="5">
        <f t="shared" si="19"/>
        <v>19200000</v>
      </c>
    </row>
    <row r="50" spans="2:4" x14ac:dyDescent="0.25">
      <c r="B50" s="20" t="s">
        <v>45</v>
      </c>
      <c r="C50" s="5">
        <f t="shared" si="18"/>
        <v>118</v>
      </c>
      <c r="D50" s="5">
        <f t="shared" si="19"/>
        <v>619135100</v>
      </c>
    </row>
    <row r="51" spans="2:4" x14ac:dyDescent="0.25">
      <c r="B51" s="20" t="s">
        <v>41</v>
      </c>
      <c r="C51" s="5">
        <f t="shared" si="18"/>
        <v>1008</v>
      </c>
      <c r="D51" s="5">
        <f t="shared" si="19"/>
        <v>45900000</v>
      </c>
    </row>
    <row r="52" spans="2:4" x14ac:dyDescent="0.25">
      <c r="B52" s="24" t="s">
        <v>38</v>
      </c>
      <c r="C52" s="25">
        <f t="shared" si="18"/>
        <v>12</v>
      </c>
      <c r="D52" s="25">
        <f t="shared" si="19"/>
        <v>2400000</v>
      </c>
    </row>
  </sheetData>
  <mergeCells count="1">
    <mergeCell ref="A44:F44"/>
  </mergeCells>
  <hyperlinks>
    <hyperlink ref="U2" r:id="rId1" xr:uid="{33BBE48E-C88B-49A3-BA99-EFD0815AF738}"/>
    <hyperlink ref="U3" r:id="rId2" xr:uid="{F15122D2-8DBC-4408-9424-C0F7EE8BA9D9}"/>
    <hyperlink ref="U5" r:id="rId3" xr:uid="{E42AB0E1-7686-46A1-A51F-9FB9ABAB5BA3}"/>
    <hyperlink ref="U27" r:id="rId4" xr:uid="{C775A1E1-1AD5-42AF-96F8-19D85689A92C}"/>
    <hyperlink ref="U26" r:id="rId5" location="polycard_client=search-nordic&amp;search_layout=grid&amp;position=3&amp;type=product&amp;tracking_id=caf3d509-a34d-44f7-ace2-a897dc60b29e&amp;wid=MCO1672269059&amp;sid=search" display="https://www.mercadolibre.com.co/plumas-lapicero-bic-dura-punto-mediano-1-mm-caja-50-th/p/MCO2038834926?has_official_store=false&amp;highlight=false&amp;headerTopBrand=true#polycard_client=search-nordic&amp;search_layout=grid&amp;position=3&amp;type=product&amp;tracking_id=caf3d509-a34d-44f7-ace2-a897dc60b29e&amp;wid=MCO1672269059&amp;sid=search" xr:uid="{4A5ECA64-5E5E-49AD-B3C2-31D53EA0ABAC}"/>
    <hyperlink ref="U15" r:id="rId6" xr:uid="{59AF49EF-9376-4089-895A-AC8B44149D0C}"/>
    <hyperlink ref="U16" r:id="rId7" location="polycard_client=search-nordic&amp;search_layout=stack&amp;position=1&amp;type=product&amp;tracking_id=7ae0aca1-7a2a-4064-8e96-616fdf4e53ba&amp;wid=MCO1241355609&amp;sid=search" display="https://www.mercadolibre.com.co/impresora-de-carnets-a-una-cara-zebra-zc100-usb/up/MCOU2405660816?has_official_store=false&amp;highlight=false&amp;headerTopBrand=false#polycard_client=search-nordic&amp;search_layout=stack&amp;position=1&amp;type=product&amp;tracking_id=7ae0aca1-7a2a-4064-8e96-616fdf4e53ba&amp;wid=MCO1241355609&amp;sid=search" xr:uid="{4F903104-60D4-45B4-8B90-844BFA971A68}"/>
    <hyperlink ref="U17" r:id="rId8" xr:uid="{E40D0075-7FA3-41F8-AD57-49A71D4EF109}"/>
    <hyperlink ref="U18" r:id="rId9" location="polycard_client=search-nordic&amp;search_layout=stack&amp;position=3&amp;type=product&amp;tracking_id=96df3211-f853-46dd-a4db-ba0cc0d1eeb6&amp;wid=MCO1416098195&amp;sid=search" display="https://www.mercadolibre.com.co/lector-biometrico-usb-digital-persona-uareu-4500/p/MCO27809732?has_official_store=false&amp;highlight=true&amp;headerTopBrand=true#polycard_client=search-nordic&amp;search_layout=stack&amp;position=3&amp;type=product&amp;tracking_id=96df3211-f853-46dd-a4db-ba0cc0d1eeb6&amp;wid=MCO1416098195&amp;sid=search" xr:uid="{9AA682BF-1771-4BC6-BCD0-A135EB07BB42}"/>
    <hyperlink ref="U19" r:id="rId10" xr:uid="{4828553F-78AB-4DAA-86AC-5FAF6D97450F}"/>
    <hyperlink ref="U20" r:id="rId11" xr:uid="{96D1C89A-1834-4F76-822D-32C8880C68A7}"/>
    <hyperlink ref="U21" r:id="rId12" xr:uid="{F781060F-93B2-4974-ABF0-D4DFA7E2B47D}"/>
    <hyperlink ref="U22" r:id="rId13" xr:uid="{E8E9F320-5A24-4E77-8E56-D3CDB962D43C}"/>
    <hyperlink ref="U24" r:id="rId14" xr:uid="{765965DB-A578-40C5-923C-7B37715A566A}"/>
    <hyperlink ref="U25" r:id="rId15" xr:uid="{ADCAC4E5-BCA7-418F-927E-3CA880B4C2EC}"/>
    <hyperlink ref="U43" r:id="rId16" xr:uid="{5B703A88-5E14-41AB-AB43-6B2904FB58D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>
        <v>152200388</v>
      </c>
    </row>
    <row r="3" spans="1:2" x14ac:dyDescent="0.25">
      <c r="A3" t="s">
        <v>66</v>
      </c>
      <c r="B3">
        <v>15220039</v>
      </c>
    </row>
    <row r="4" spans="1:2" x14ac:dyDescent="0.25">
      <c r="A4" t="s">
        <v>67</v>
      </c>
      <c r="B4">
        <v>167420427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17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30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39</v>
      </c>
    </row>
    <row r="11" spans="1:2" x14ac:dyDescent="0.25">
      <c r="A11" t="s">
        <v>40</v>
      </c>
      <c r="B11" t="s">
        <v>43</v>
      </c>
    </row>
    <row r="12" spans="1:2" x14ac:dyDescent="0.25">
      <c r="A12" t="s">
        <v>44</v>
      </c>
      <c r="B12" t="s">
        <v>46</v>
      </c>
    </row>
    <row r="13" spans="1:2" x14ac:dyDescent="0.25">
      <c r="A13" t="s">
        <v>47</v>
      </c>
      <c r="B13" t="s">
        <v>48</v>
      </c>
    </row>
    <row r="14" spans="1:2" x14ac:dyDescent="0.25">
      <c r="A14" t="s">
        <v>49</v>
      </c>
      <c r="B14" t="s">
        <v>48</v>
      </c>
    </row>
    <row r="15" spans="1:2" x14ac:dyDescent="0.25">
      <c r="A15" t="s">
        <v>50</v>
      </c>
      <c r="B15" t="s">
        <v>51</v>
      </c>
    </row>
    <row r="16" spans="1:2" x14ac:dyDescent="0.25">
      <c r="A16" t="s">
        <v>52</v>
      </c>
      <c r="B16" t="s">
        <v>54</v>
      </c>
    </row>
    <row r="17" spans="1:2" x14ac:dyDescent="0.25">
      <c r="A17" t="s">
        <v>55</v>
      </c>
      <c r="B17" t="s">
        <v>56</v>
      </c>
    </row>
    <row r="18" spans="1:2" x14ac:dyDescent="0.25">
      <c r="A18" t="s">
        <v>57</v>
      </c>
      <c r="B18" t="s">
        <v>60</v>
      </c>
    </row>
    <row r="19" spans="1:2" x14ac:dyDescent="0.25">
      <c r="A19" t="s">
        <v>61</v>
      </c>
      <c r="B19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MatrizCostos</vt:lpstr>
      <vt:lpstr>Resumen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Cardona Blandon</cp:lastModifiedBy>
  <dcterms:created xsi:type="dcterms:W3CDTF">2025-10-08T23:49:52Z</dcterms:created>
  <dcterms:modified xsi:type="dcterms:W3CDTF">2025-11-12T04:25:37Z</dcterms:modified>
</cp:coreProperties>
</file>